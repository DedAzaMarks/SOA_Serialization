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5"/>
  <workbookPr codeName="ThisWorkbook"/>
  <mc:AlternateContent xmlns:mc="http://schemas.openxmlformats.org/markup-compatibility/2006">
    <mc:Choice Requires="x15">
      <x15ac:absPath xmlns:x15ac="http://schemas.microsoft.com/office/spreadsheetml/2010/11/ac" url="/Users/m.bordyugov/go/src/formats-comparison/"/>
    </mc:Choice>
  </mc:AlternateContent>
  <xr:revisionPtr revIDLastSave="0" documentId="13_ncr:1_{0DCDB6B0-641B-5A4C-A8E0-EBE49892247B}" xr6:coauthVersionLast="47" xr6:coauthVersionMax="47" xr10:uidLastSave="{00000000-0000-0000-0000-000000000000}"/>
  <bookViews>
    <workbookView xWindow="0" yWindow="0" windowWidth="33600" windowHeight="21000" xr2:uid="{00000000-000D-0000-FFFF-FFFF00000000}"/>
  </bookViews>
  <sheets>
    <sheet name="СЕРИАЛИЗАЦИЯ" sheetId="1" r:id="rId1"/>
  </sheets>
  <definedNames>
    <definedName name="_xlnm.Print_Titles" localSheetId="0">СЕРИАЛИЗАЦИЯ!$15:$15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2" i="1" l="1"/>
  <c r="E21" i="1"/>
  <c r="E20" i="1"/>
  <c r="I20" i="1" s="1"/>
  <c r="E19" i="1"/>
  <c r="E18" i="1"/>
  <c r="E17" i="1"/>
  <c r="F17" i="1" s="1"/>
  <c r="E16" i="1"/>
  <c r="F16" i="1" s="1"/>
  <c r="D20" i="1"/>
  <c r="F20" i="1" s="1"/>
  <c r="D22" i="1"/>
  <c r="D21" i="1"/>
  <c r="H21" i="1" s="1"/>
  <c r="D19" i="1"/>
  <c r="H16" i="1" s="1"/>
  <c r="D18" i="1"/>
  <c r="D17" i="1"/>
  <c r="D16" i="1"/>
  <c r="G22" i="1"/>
  <c r="I19" i="1"/>
  <c r="H17" i="1"/>
  <c r="H20" i="1"/>
  <c r="G17" i="1"/>
  <c r="G18" i="1"/>
  <c r="G19" i="1"/>
  <c r="G20" i="1"/>
  <c r="G21" i="1"/>
  <c r="G16" i="1"/>
  <c r="F21" i="1" l="1"/>
  <c r="F19" i="1"/>
  <c r="H22" i="1"/>
  <c r="I18" i="1"/>
  <c r="I22" i="1"/>
  <c r="I16" i="1"/>
  <c r="I17" i="1"/>
  <c r="I21" i="1"/>
  <c r="F22" i="1"/>
  <c r="H18" i="1"/>
  <c r="F18" i="1"/>
  <c r="J20" i="1" s="1"/>
  <c r="H19" i="1"/>
  <c r="J17" i="1" l="1"/>
  <c r="J21" i="1"/>
  <c r="J22" i="1"/>
  <c r="J19" i="1"/>
  <c r="J18" i="1"/>
  <c r="J16" i="1"/>
</calcChain>
</file>

<file path=xl/sharedStrings.xml><?xml version="1.0" encoding="utf-8"?>
<sst xmlns="http://schemas.openxmlformats.org/spreadsheetml/2006/main" count="17" uniqueCount="17">
  <si>
    <t>Формат</t>
  </si>
  <si>
    <t>XML</t>
  </si>
  <si>
    <t>JSON</t>
  </si>
  <si>
    <t>MessagePack</t>
  </si>
  <si>
    <t>YAML</t>
  </si>
  <si>
    <t>Protocol Buffers</t>
  </si>
  <si>
    <t>Относительный объем данных</t>
  </si>
  <si>
    <t>Относительное время сериализации</t>
  </si>
  <si>
    <t>Относительное время десериаилзации</t>
  </si>
  <si>
    <t>Объем сериализованных данных (байт)</t>
  </si>
  <si>
    <t>Время сериализации (с)</t>
  </si>
  <si>
    <t>Время десериализации (с)</t>
  </si>
  <si>
    <t>Общее время сериализации/
десериализации</t>
  </si>
  <si>
    <t>Относительное общее время</t>
  </si>
  <si>
    <t>Gob (Нативная сериализация)</t>
  </si>
  <si>
    <t>AVRO</t>
  </si>
  <si>
    <t>Сравнение форматов сериализации в языке 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</si>
</sst>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5" formatCode="0.0000"/>
  </numFmts>
  <fonts count="10" x14ac:knownFonts="1">
    <font>
      <sz val="12"/>
      <color theme="5" tint="0.39988402966399123"/>
      <name val="Calibri"/>
      <family val="2"/>
      <scheme val="minor"/>
    </font>
    <font>
      <sz val="29"/>
      <color theme="5"/>
      <name val="Calibri"/>
      <family val="2"/>
      <scheme val="major"/>
    </font>
    <font>
      <b/>
      <sz val="11"/>
      <color theme="3"/>
      <name val="Calibri"/>
      <family val="2"/>
      <scheme val="major"/>
    </font>
    <font>
      <sz val="14"/>
      <color theme="5" tint="0.39994506668294322"/>
      <name val="Calibri"/>
      <family val="2"/>
      <scheme val="minor"/>
    </font>
    <font>
      <sz val="16"/>
      <color theme="5"/>
      <name val="Calibri"/>
      <family val="2"/>
      <scheme val="major"/>
    </font>
    <font>
      <sz val="14"/>
      <color theme="5" tint="0.39997558519241921"/>
      <name val="Calibri"/>
      <family val="2"/>
      <scheme val="minor"/>
    </font>
    <font>
      <sz val="12"/>
      <color theme="5"/>
      <name val="Calibri"/>
      <family val="2"/>
      <scheme val="major"/>
    </font>
    <font>
      <sz val="12"/>
      <color theme="5" tint="0.39994506668294322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>
      <alignment vertical="center"/>
    </xf>
    <xf numFmtId="0" fontId="1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6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1" fillId="2" borderId="0" xfId="1" applyFill="1"/>
    <xf numFmtId="0" fontId="7" fillId="0" borderId="0" xfId="0" applyFont="1" applyAlignment="1">
      <alignment horizontal="center" vertical="center"/>
    </xf>
    <xf numFmtId="2" fontId="8" fillId="0" borderId="0" xfId="0" applyNumberFormat="1" applyFont="1" applyFill="1" applyBorder="1" applyAlignment="1">
      <alignment horizontal="center" vertical="center"/>
    </xf>
    <xf numFmtId="0" fontId="9" fillId="0" borderId="0" xfId="3" applyFont="1" applyFill="1" applyBorder="1" applyAlignment="1">
      <alignment horizontal="center" vertical="center" wrapText="1"/>
    </xf>
    <xf numFmtId="1" fontId="8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8" fillId="0" borderId="0" xfId="0" applyFont="1" applyAlignment="1">
      <alignment vertical="center"/>
    </xf>
    <xf numFmtId="2" fontId="8" fillId="0" borderId="0" xfId="0" applyNumberFormat="1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165" fontId="8" fillId="0" borderId="0" xfId="0" applyNumberFormat="1" applyFont="1" applyFill="1" applyBorder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165" fontId="8" fillId="0" borderId="0" xfId="0" applyNumberFormat="1" applyFont="1" applyFill="1" applyAlignment="1">
      <alignment horizontal="center" vertical="center"/>
    </xf>
  </cellXfs>
  <cellStyles count="6"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Название" xfId="1" builtinId="15" customBuiltin="1"/>
    <cellStyle name="Обычный" xfId="0" builtinId="0" customBuiltin="1"/>
  </cellStyles>
  <dxfs count="16"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0.0000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0.0000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5"/>
        <name val="Calibri"/>
        <scheme val="maj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general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</font>
      <alignment horizontal="center" vertical="center" textRotation="0" wrapText="1" indent="0" justifyLastLine="0" shrinkToFit="0" readingOrder="0"/>
    </dxf>
    <dxf>
      <font>
        <b val="0"/>
        <i val="0"/>
        <color theme="5"/>
      </font>
      <fill>
        <patternFill patternType="none">
          <bgColor auto="1"/>
        </patternFill>
      </fill>
      <border diagonalUp="0" diagonalDown="0">
        <left/>
        <right/>
        <top style="medium">
          <color theme="2" tint="-9.9948118533890809E-2"/>
        </top>
        <bottom/>
        <vertical/>
        <horizontal/>
      </border>
    </dxf>
    <dxf>
      <font>
        <b val="0"/>
        <i val="0"/>
        <color theme="5"/>
      </font>
      <fill>
        <patternFill patternType="none">
          <fgColor indexed="64"/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color theme="5" tint="0.39991454817346722"/>
      </font>
      <fill>
        <patternFill patternType="none">
          <bgColor auto="1"/>
        </patternFill>
      </fill>
      <border diagonalUp="0" diagonalDown="0">
        <left/>
        <right/>
        <top/>
        <bottom style="medium">
          <color theme="2" tint="-9.9948118533890809E-2"/>
        </bottom>
        <vertical/>
        <horizontal style="medium">
          <color theme="2" tint="-9.9948118533890809E-2"/>
        </horizontal>
      </border>
    </dxf>
  </dxfs>
  <tableStyles count="1" defaultTableStyle="Учет продаж в Интернете" defaultPivotStyle="PivotStyleLight16">
    <tableStyle name="Учет продаж в Интернете" pivot="0" count="3" xr9:uid="{00000000-0011-0000-FFFF-FFFF00000000}">
      <tableStyleElement type="wholeTable" dxfId="15"/>
      <tableStyleElement type="headerRow" dxfId="14"/>
      <tableStyleElement type="totalRow" dxfId="1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700" b="0" i="0" u="none" strike="noStrike" kern="1200" spc="0" baseline="0">
                <a:solidFill>
                  <a:schemeClr val="accent2"/>
                </a:solidFill>
                <a:latin typeface="+mj-lt"/>
                <a:ea typeface="+mn-ea"/>
                <a:cs typeface="+mn-cs"/>
              </a:defRPr>
            </a:pPr>
            <a:r>
              <a:rPr lang="ru-RU" sz="1700">
                <a:solidFill>
                  <a:schemeClr val="accent2"/>
                </a:solidFill>
                <a:latin typeface="+mj-lt"/>
              </a:rPr>
              <a:t>Относительное сравнение форматов сериализации</a:t>
            </a:r>
            <a:endParaRPr lang="en-US" sz="1700">
              <a:solidFill>
                <a:schemeClr val="accent2"/>
              </a:solidFill>
              <a:latin typeface="+mj-lt"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1245727697499299E-2"/>
          <c:y val="0.14938971184010999"/>
          <c:w val="0.79136418043898404"/>
          <c:h val="0.72608319655953302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СЕРИАЛИЗАЦИЯ!$G$15</c:f>
              <c:strCache>
                <c:ptCount val="1"/>
                <c:pt idx="0">
                  <c:v>Относительный объем данных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СЕРИАЛИЗАЦИЯ!$B$16:$B$22</c:f>
              <c:strCache>
                <c:ptCount val="7"/>
                <c:pt idx="0">
                  <c:v>Gob (Нативная сериализация)</c:v>
                </c:pt>
                <c:pt idx="1">
                  <c:v>XML</c:v>
                </c:pt>
                <c:pt idx="2">
                  <c:v>JSON</c:v>
                </c:pt>
                <c:pt idx="3">
                  <c:v>MessagePack</c:v>
                </c:pt>
                <c:pt idx="4">
                  <c:v>YAML</c:v>
                </c:pt>
                <c:pt idx="5">
                  <c:v>Protocol Buffers</c:v>
                </c:pt>
                <c:pt idx="6">
                  <c:v>AVRO</c:v>
                </c:pt>
              </c:strCache>
            </c:strRef>
          </c:cat>
          <c:val>
            <c:numRef>
              <c:f>СЕРИАЛИЗАЦИЯ!$G$16:$G$23</c:f>
              <c:numCache>
                <c:formatCode>0.00</c:formatCode>
                <c:ptCount val="8"/>
                <c:pt idx="0">
                  <c:v>1.0135854598861758</c:v>
                </c:pt>
                <c:pt idx="1">
                  <c:v>2.243253166880852</c:v>
                </c:pt>
                <c:pt idx="2">
                  <c:v>1.4521755094547457</c:v>
                </c:pt>
                <c:pt idx="3">
                  <c:v>1.4358362401321829</c:v>
                </c:pt>
                <c:pt idx="4">
                  <c:v>1.5524141729392327</c:v>
                </c:pt>
                <c:pt idx="5">
                  <c:v>1.0317606021663301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7D-334F-9C3A-17DFE08C53D9}"/>
            </c:ext>
          </c:extLst>
        </c:ser>
        <c:ser>
          <c:idx val="1"/>
          <c:order val="1"/>
          <c:tx>
            <c:strRef>
              <c:f>СЕРИАЛИЗАЦИЯ!$J$15</c:f>
              <c:strCache>
                <c:ptCount val="1"/>
                <c:pt idx="0">
                  <c:v>Относительное общее время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17D-334F-9C3A-17DFE08C53D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17D-334F-9C3A-17DFE08C53D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17D-334F-9C3A-17DFE08C53D9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17D-334F-9C3A-17DFE08C53D9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417D-334F-9C3A-17DFE08C53D9}"/>
              </c:ext>
            </c:extLst>
          </c:dPt>
          <c:cat>
            <c:strRef>
              <c:f>СЕРИАЛИЗАЦИЯ!$B$16:$B$22</c:f>
              <c:strCache>
                <c:ptCount val="7"/>
                <c:pt idx="0">
                  <c:v>Gob (Нативная сериализация)</c:v>
                </c:pt>
                <c:pt idx="1">
                  <c:v>XML</c:v>
                </c:pt>
                <c:pt idx="2">
                  <c:v>JSON</c:v>
                </c:pt>
                <c:pt idx="3">
                  <c:v>MessagePack</c:v>
                </c:pt>
                <c:pt idx="4">
                  <c:v>YAML</c:v>
                </c:pt>
                <c:pt idx="5">
                  <c:v>Protocol Buffers</c:v>
                </c:pt>
                <c:pt idx="6">
                  <c:v>AVRO</c:v>
                </c:pt>
              </c:strCache>
            </c:strRef>
          </c:cat>
          <c:val>
            <c:numRef>
              <c:f>СЕРИАЛИЗАЦИЯ!$J$16:$J$23</c:f>
              <c:numCache>
                <c:formatCode>0.00</c:formatCode>
                <c:ptCount val="8"/>
                <c:pt idx="0">
                  <c:v>1</c:v>
                </c:pt>
                <c:pt idx="1">
                  <c:v>9.9992386420369446</c:v>
                </c:pt>
                <c:pt idx="2">
                  <c:v>2.8939715426859709</c:v>
                </c:pt>
                <c:pt idx="3">
                  <c:v>3.1179231153270095</c:v>
                </c:pt>
                <c:pt idx="4">
                  <c:v>14.916138292561159</c:v>
                </c:pt>
                <c:pt idx="5">
                  <c:v>1.1497628557164254</c:v>
                </c:pt>
                <c:pt idx="6">
                  <c:v>1.6598851722416377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17D-334F-9C3A-17DFE08C5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5"/>
        <c:axId val="2137947760"/>
        <c:axId val="2137951152"/>
      </c:barChart>
      <c:catAx>
        <c:axId val="2137947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37951152"/>
        <c:crosses val="autoZero"/>
        <c:auto val="1"/>
        <c:lblAlgn val="ctr"/>
        <c:lblOffset val="100"/>
        <c:noMultiLvlLbl val="0"/>
      </c:catAx>
      <c:valAx>
        <c:axId val="213795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3794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027467119494702"/>
          <c:y val="0.36338816404545699"/>
          <c:w val="0.15942313100285499"/>
          <c:h val="0.404324995325452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193040</xdr:colOff>
      <xdr:row>14</xdr:row>
      <xdr:rowOff>0</xdr:rowOff>
    </xdr:to>
    <xdr:graphicFrame macro="">
      <xdr:nvGraphicFramePr>
        <xdr:cNvPr id="3" name="ProductIncomeChart" descr="Отобразите все позиции на гистограмме с группировкой." title="Диаграмма доли дохода по позициям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Таблица1" displayName="Таблица1" ref="B15:J22" totalsRowShown="0" headerRowDxfId="12" dataDxfId="11" totalsRowDxfId="10">
  <autoFilter ref="B15:J22" xr:uid="{00000000-0009-0000-0100-000001000000}"/>
  <tableColumns count="9">
    <tableColumn id="1" xr3:uid="{00000000-0010-0000-0000-000001000000}" name="Формат" dataDxfId="8" totalsRowDxfId="9"/>
    <tableColumn id="2" xr3:uid="{00000000-0010-0000-0000-000002000000}" name="Объем сериализованных данных (байт)" dataDxfId="7"/>
    <tableColumn id="3" xr3:uid="{00000000-0010-0000-0000-000003000000}" name="Время сериализации (с)" dataDxfId="6"/>
    <tableColumn id="4" xr3:uid="{00000000-0010-0000-0000-000004000000}" name="Время десериализации (с)" dataDxfId="5"/>
    <tableColumn id="6" xr3:uid="{00000000-0010-0000-0000-000006000000}" name="Общее время сериализации/_x000a_десериализации" dataDxfId="4">
      <calculatedColumnFormula>SUM(Таблица1[[#This Row],[Время сериализации (с)]:[Время десериализации (с)]])</calculatedColumnFormula>
    </tableColumn>
    <tableColumn id="5" xr3:uid="{00000000-0010-0000-0000-000005000000}" name="Относительный объем данных" dataDxfId="3">
      <calculatedColumnFormula>Таблица1[[#This Row],[Объем сериализованных данных (байт)]]/MIN(Таблица1[Объем сериализованных данных (байт)])</calculatedColumnFormula>
    </tableColumn>
    <tableColumn id="7" xr3:uid="{00000000-0010-0000-0000-000007000000}" name="Относительное время сериализации" dataDxfId="2">
      <calculatedColumnFormula>Таблица1[[#This Row],[Время сериализации (с)]]/MIN(Таблица1[Время сериализации (с)])</calculatedColumnFormula>
    </tableColumn>
    <tableColumn id="8" xr3:uid="{00000000-0010-0000-0000-000008000000}" name="Относительное время десериаилзации" dataDxfId="1">
      <calculatedColumnFormula>Таблица1[[#This Row],[Время десериализации (с)]]/MIN(Таблица1[Время десериализации (с)])</calculatedColumnFormula>
    </tableColumn>
    <tableColumn id="9" xr3:uid="{00000000-0010-0000-0000-000009000000}" name="Относительное общее время" dataDxfId="0">
      <calculatedColumnFormula>Таблица1[[#This Row],[Общее время сериализации/
десериализации]]/MIN(Таблица1[Общее время сериализации/
десериализации])</calculatedColumnFormula>
    </tableColumn>
  </tableColumns>
  <tableStyleInfo name="Учет продаж в Интернете" showFirstColumn="0" showLastColumn="0" showRowStripes="1" showColumnStripes="0"/>
  <extLst>
    <ext xmlns:x14="http://schemas.microsoft.com/office/spreadsheetml/2009/9/main" uri="{504A1905-F514-4f6f-8877-14C23A59335A}">
      <x14:table altText="Учет продаж в Интернете" altTextSummary="Введите данные о своих продажах в Интернете, включая позиции, процент наценки, общее количество проданного товара, расходы на транспортировку и ее стоимость, а также количество возвратов."/>
    </ext>
  </extLst>
</table>
</file>

<file path=xl/theme/theme1.xml><?xml version="1.0" encoding="utf-8"?>
<a:theme xmlns:a="http://schemas.openxmlformats.org/drawingml/2006/main" name="Office Theme">
  <a:themeElements>
    <a:clrScheme name="Online sales tracker">
      <a:dk1>
        <a:sysClr val="windowText" lastClr="000000"/>
      </a:dk1>
      <a:lt1>
        <a:sysClr val="window" lastClr="FFFFFF"/>
      </a:lt1>
      <a:dk2>
        <a:srgbClr val="332834"/>
      </a:dk2>
      <a:lt2>
        <a:srgbClr val="F5F5F4"/>
      </a:lt2>
      <a:accent1>
        <a:srgbClr val="E06B6B"/>
      </a:accent1>
      <a:accent2>
        <a:srgbClr val="664F68"/>
      </a:accent2>
      <a:accent3>
        <a:srgbClr val="85D2C0"/>
      </a:accent3>
      <a:accent4>
        <a:srgbClr val="F2CF85"/>
      </a:accent4>
      <a:accent5>
        <a:srgbClr val="4FB1BF"/>
      </a:accent5>
      <a:accent6>
        <a:srgbClr val="EE9360"/>
      </a:accent6>
      <a:hlink>
        <a:srgbClr val="C782C0"/>
      </a:hlink>
      <a:folHlink>
        <a:srgbClr val="85D2C0"/>
      </a:folHlink>
    </a:clrScheme>
    <a:fontScheme name="Online sales tracker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/>
    <pageSetUpPr autoPageBreaks="0" fitToPage="1"/>
  </sheetPr>
  <dimension ref="A1:K22"/>
  <sheetViews>
    <sheetView showGridLines="0" tabSelected="1" topLeftCell="A2" zoomScale="125" zoomScaleNormal="125" zoomScalePageLayoutView="125" workbookViewId="0">
      <selection activeCell="G15" sqref="G15"/>
    </sheetView>
  </sheetViews>
  <sheetFormatPr baseColWidth="10" defaultColWidth="9" defaultRowHeight="27" customHeight="1" x14ac:dyDescent="0.2"/>
  <cols>
    <col min="1" max="1" width="2.83203125" style="2" customWidth="1"/>
    <col min="2" max="2" width="25.1640625" style="3" customWidth="1"/>
    <col min="3" max="3" width="16.5" style="3" customWidth="1"/>
    <col min="4" max="4" width="12.83203125" style="3" customWidth="1"/>
    <col min="5" max="5" width="14.83203125" style="3" customWidth="1"/>
    <col min="6" max="6" width="15.5" style="3" customWidth="1"/>
    <col min="7" max="7" width="14.33203125" style="3" customWidth="1"/>
    <col min="8" max="8" width="15.5" style="3" customWidth="1"/>
    <col min="9" max="9" width="17.6640625" style="3" customWidth="1"/>
    <col min="10" max="10" width="15.1640625" style="3" customWidth="1"/>
    <col min="11" max="11" width="2.83203125" style="2" customWidth="1"/>
    <col min="12" max="16384" width="9" style="2"/>
  </cols>
  <sheetData>
    <row r="1" spans="1:11" ht="45.75" customHeight="1" x14ac:dyDescent="0.45">
      <c r="A1" s="1"/>
      <c r="B1" s="4" t="s">
        <v>16</v>
      </c>
      <c r="C1" s="1"/>
      <c r="D1" s="1"/>
      <c r="E1" s="1"/>
      <c r="F1" s="1"/>
      <c r="G1" s="1"/>
      <c r="H1" s="1"/>
      <c r="I1" s="1"/>
      <c r="J1" s="1"/>
      <c r="K1" s="1"/>
    </row>
    <row r="2" spans="1:11" ht="24" customHeight="1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ht="19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</row>
    <row r="4" spans="1:11" ht="19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</row>
    <row r="5" spans="1:11" ht="19" x14ac:dyDescent="0.2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ht="19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1" ht="19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 ht="19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 ht="19" x14ac:dyDescent="0.2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ht="19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 ht="19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ht="19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ht="19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ht="68" customHeight="1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s="5" customFormat="1" ht="60" customHeight="1" x14ac:dyDescent="0.2">
      <c r="B15" s="7" t="s">
        <v>0</v>
      </c>
      <c r="C15" s="7" t="s">
        <v>9</v>
      </c>
      <c r="D15" s="7" t="s">
        <v>10</v>
      </c>
      <c r="E15" s="7" t="s">
        <v>11</v>
      </c>
      <c r="F15" s="7" t="s">
        <v>12</v>
      </c>
      <c r="G15" s="7" t="s">
        <v>6</v>
      </c>
      <c r="H15" s="7" t="s">
        <v>7</v>
      </c>
      <c r="I15" s="7" t="s">
        <v>8</v>
      </c>
      <c r="J15" s="7" t="s">
        <v>13</v>
      </c>
    </row>
    <row r="16" spans="1:11" ht="27" customHeight="1" x14ac:dyDescent="0.2">
      <c r="B16" s="9" t="s">
        <v>14</v>
      </c>
      <c r="C16" s="8">
        <v>5521</v>
      </c>
      <c r="D16" s="13">
        <f>56021/1000000</f>
        <v>5.6021000000000001E-2</v>
      </c>
      <c r="E16" s="13">
        <f>24099/1000000</f>
        <v>2.4098999999999999E-2</v>
      </c>
      <c r="F16" s="13">
        <f>SUM(Таблица1[[#This Row],[Время сериализации (с)]:[Время десериализации (с)]])</f>
        <v>8.0119999999999997E-2</v>
      </c>
      <c r="G16" s="6">
        <f>Таблица1[[#This Row],[Объем сериализованных данных (байт)]]/MIN(Таблица1[Объем сериализованных данных (байт)])</f>
        <v>1.0135854598861758</v>
      </c>
      <c r="H16" s="6">
        <f>Таблица1[[#This Row],[Время сериализации (с)]]/MIN(Таблица1[Время сериализации (с)])</f>
        <v>1</v>
      </c>
      <c r="I16" s="6">
        <f>Таблица1[[#This Row],[Время десериализации (с)]]/MIN(Таблица1[Время десериализации (с)])</f>
        <v>1</v>
      </c>
      <c r="J16" s="6">
        <f>Таблица1[[#This Row],[Общее время сериализации/
десериализации]]/MIN(Таблица1[Общее время сериализации/
десериализации])</f>
        <v>1</v>
      </c>
    </row>
    <row r="17" spans="2:10" ht="27" customHeight="1" x14ac:dyDescent="0.2">
      <c r="B17" s="9" t="s">
        <v>1</v>
      </c>
      <c r="C17" s="8">
        <v>12219</v>
      </c>
      <c r="D17" s="13">
        <f>188630/1000000</f>
        <v>0.18862999999999999</v>
      </c>
      <c r="E17" s="13">
        <f>612509/1000000</f>
        <v>0.61250899999999997</v>
      </c>
      <c r="F17" s="13">
        <f>SUM(Таблица1[[#This Row],[Время сериализации (с)]:[Время десериализации (с)]])</f>
        <v>0.80113899999999993</v>
      </c>
      <c r="G17" s="6">
        <f>Таблица1[[#This Row],[Объем сериализованных данных (байт)]]/MIN(Таблица1[Объем сериализованных данных (байт)])</f>
        <v>2.243253166880852</v>
      </c>
      <c r="H17" s="6">
        <f>Таблица1[[#This Row],[Время сериализации (с)]]/MIN(Таблица1[Время сериализации (с)])</f>
        <v>3.3671301833241105</v>
      </c>
      <c r="I17" s="6">
        <f>Таблица1[[#This Row],[Время десериализации (с)]]/MIN(Таблица1[Время десериализации (с)])</f>
        <v>25.416365824308063</v>
      </c>
      <c r="J17" s="6">
        <f>Таблица1[[#This Row],[Общее время сериализации/
десериализации]]/MIN(Таблица1[Общее время сериализации/
десериализации])</f>
        <v>9.9992386420369446</v>
      </c>
    </row>
    <row r="18" spans="2:10" ht="27" customHeight="1" x14ac:dyDescent="0.2">
      <c r="B18" s="9" t="s">
        <v>2</v>
      </c>
      <c r="C18" s="8">
        <v>7910</v>
      </c>
      <c r="D18" s="13">
        <f>85074/1000000</f>
        <v>8.5073999999999997E-2</v>
      </c>
      <c r="E18" s="13">
        <f>146791/1000000</f>
        <v>0.146791</v>
      </c>
      <c r="F18" s="13">
        <f>SUM(Таблица1[[#This Row],[Время сериализации (с)]:[Время десериализации (с)]])</f>
        <v>0.23186499999999999</v>
      </c>
      <c r="G18" s="6">
        <f>Таблица1[[#This Row],[Объем сериализованных данных (байт)]]/MIN(Таблица1[Объем сериализованных данных (байт)])</f>
        <v>1.4521755094547457</v>
      </c>
      <c r="H18" s="6">
        <f>Таблица1[[#This Row],[Время сериализации (с)]]/MIN(Таблица1[Время сериализации (с)])</f>
        <v>1.5186090930186893</v>
      </c>
      <c r="I18" s="6">
        <f>Таблица1[[#This Row],[Время десериализации (с)]]/MIN(Таблица1[Время десериализации (с)])</f>
        <v>6.0911656085314752</v>
      </c>
      <c r="J18" s="6">
        <f>Таблица1[[#This Row],[Общее время сериализации/
десериализации]]/MIN(Таблица1[Общее время сериализации/
десериализации])</f>
        <v>2.8939715426859709</v>
      </c>
    </row>
    <row r="19" spans="2:10" ht="27" customHeight="1" x14ac:dyDescent="0.2">
      <c r="B19" s="9" t="s">
        <v>3</v>
      </c>
      <c r="C19" s="8">
        <v>7821</v>
      </c>
      <c r="D19" s="13">
        <f>100338/1000000</f>
        <v>0.100338</v>
      </c>
      <c r="E19" s="13">
        <f>149470/1000000</f>
        <v>0.14946999999999999</v>
      </c>
      <c r="F19" s="13">
        <f>SUM(Таблица1[[#This Row],[Время сериализации (с)]:[Время десериализации (с)]])</f>
        <v>0.24980799999999997</v>
      </c>
      <c r="G19" s="6">
        <f>Таблица1[[#This Row],[Объем сериализованных данных (байт)]]/MIN(Таблица1[Объем сериализованных данных (байт)])</f>
        <v>1.4358362401321829</v>
      </c>
      <c r="H19" s="6">
        <f>Таблица1[[#This Row],[Время сериализации (с)]]/MIN(Таблица1[Время сериализации (с)])</f>
        <v>1.7910783456203923</v>
      </c>
      <c r="I19" s="6">
        <f>Таблица1[[#This Row],[Время десериализации (с)]]/MIN(Таблица1[Время десериализации (с)])</f>
        <v>6.2023320469729031</v>
      </c>
      <c r="J19" s="6">
        <f>Таблица1[[#This Row],[Общее время сериализации/
десериализации]]/MIN(Таблица1[Общее время сериализации/
десериализации])</f>
        <v>3.1179231153270095</v>
      </c>
    </row>
    <row r="20" spans="2:10" ht="27" customHeight="1" x14ac:dyDescent="0.2">
      <c r="B20" s="9" t="s">
        <v>4</v>
      </c>
      <c r="C20" s="8">
        <v>8456</v>
      </c>
      <c r="D20" s="13">
        <f>676295/1000000</f>
        <v>0.67629499999999998</v>
      </c>
      <c r="E20" s="13">
        <f>518786/1000000</f>
        <v>0.51878599999999997</v>
      </c>
      <c r="F20" s="13">
        <f>SUM(Таблица1[[#This Row],[Время сериализации (с)]:[Время десериализации (с)]])</f>
        <v>1.1950810000000001</v>
      </c>
      <c r="G20" s="6">
        <f>Таблица1[[#This Row],[Объем сериализованных данных (байт)]]/MIN(Таблица1[Объем сериализованных данных (байт)])</f>
        <v>1.5524141729392327</v>
      </c>
      <c r="H20" s="6">
        <f>Таблица1[[#This Row],[Время сериализации (с)]]/MIN(Таблица1[Время сериализации (с)])</f>
        <v>12.07216936505953</v>
      </c>
      <c r="I20" s="6">
        <f>Таблица1[[#This Row],[Время десериализации (с)]]/MIN(Таблица1[Время десериализации (с)])</f>
        <v>21.527283289763062</v>
      </c>
      <c r="J20" s="6">
        <f>Таблица1[[#This Row],[Общее время сериализации/
десериализации]]/MIN(Таблица1[Общее время сериализации/
десериализации])</f>
        <v>14.916138292561159</v>
      </c>
    </row>
    <row r="21" spans="2:10" ht="27" customHeight="1" x14ac:dyDescent="0.2">
      <c r="B21" s="9" t="s">
        <v>5</v>
      </c>
      <c r="C21" s="8">
        <v>5620</v>
      </c>
      <c r="D21" s="13">
        <f>61911/1000000</f>
        <v>6.1911000000000001E-2</v>
      </c>
      <c r="E21" s="13">
        <f>30208/1000000</f>
        <v>3.0207999999999999E-2</v>
      </c>
      <c r="F21" s="13">
        <f>SUM(Таблица1[[#This Row],[Время сериализации (с)]:[Время десериализации (с)]])</f>
        <v>9.2119000000000006E-2</v>
      </c>
      <c r="G21" s="6">
        <f>Таблица1[[#This Row],[Объем сериализованных данных (байт)]]/MIN(Таблица1[Объем сериализованных данных (байт)])</f>
        <v>1.0317606021663301</v>
      </c>
      <c r="H21" s="6">
        <f>Таблица1[[#This Row],[Время сериализации (с)]]/MIN(Таблица1[Время сериализации (с)])</f>
        <v>1.1051391442494778</v>
      </c>
      <c r="I21" s="6">
        <f>Таблица1[[#This Row],[Время десериализации (с)]]/MIN(Таблица1[Время десериализации (с)])</f>
        <v>1.2534959956844682</v>
      </c>
      <c r="J21" s="6">
        <f>Таблица1[[#This Row],[Общее время сериализации/
десериализации]]/MIN(Таблица1[Общее время сериализации/
десериализации])</f>
        <v>1.1497628557164254</v>
      </c>
    </row>
    <row r="22" spans="2:10" ht="27" customHeight="1" x14ac:dyDescent="0.2">
      <c r="B22" s="10" t="s">
        <v>15</v>
      </c>
      <c r="C22" s="12">
        <v>5447</v>
      </c>
      <c r="D22" s="14">
        <f>60413/1000000</f>
        <v>6.0413000000000001E-2</v>
      </c>
      <c r="E22" s="14">
        <f>72577/1000000</f>
        <v>7.2577000000000003E-2</v>
      </c>
      <c r="F22" s="15">
        <f>SUM(Таблица1[[#This Row],[Время сериализации (с)]:[Время десериализации (с)]])</f>
        <v>0.13299</v>
      </c>
      <c r="G22" s="11">
        <f>Таблица1[[#This Row],[Объем сериализованных данных (байт)]]/MIN(Таблица1[Объем сериализованных данных (байт)])</f>
        <v>1</v>
      </c>
      <c r="H22" s="11">
        <f>Таблица1[[#This Row],[Время сериализации (с)]]/MIN(Таблица1[Время сериализации (с)])</f>
        <v>1.0783991717391692</v>
      </c>
      <c r="I22" s="11">
        <f>Таблица1[[#This Row],[Время десериализации (с)]]/MIN(Таблица1[Время десериализации (с)])</f>
        <v>3.0116187393667788</v>
      </c>
      <c r="J22" s="11">
        <f>Таблица1[[#This Row],[Общее время сериализации/
десериализации]]/MIN(Таблица1[Общее время сериализации/
десериализации])</f>
        <v>1.6598851722416377</v>
      </c>
    </row>
  </sheetData>
  <conditionalFormatting sqref="G16:G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6:H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6:I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6:J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rintOptions horizontalCentered="1"/>
  <pageMargins left="0.4" right="0.4" top="0.4" bottom="0.4" header="0.25" footer="0.25"/>
  <pageSetup paperSize="9" fitToHeight="0" orientation="landscape" r:id="rId1"/>
  <headerFooter differentFirst="1">
    <oddFooter>&amp;CPage &amp;P of &amp;N</oddFooter>
  </headerFooter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СЕРИАЛИЗАЦИЯ</vt:lpstr>
      <vt:lpstr>СЕРИАЛИЗАЦИЯ!Заголовки_для_печати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Maxim Bordyugov</cp:lastModifiedBy>
  <dcterms:created xsi:type="dcterms:W3CDTF">2014-12-15T22:31:29Z</dcterms:created>
  <dcterms:modified xsi:type="dcterms:W3CDTF">2022-02-26T19:23:25Z</dcterms:modified>
</cp:coreProperties>
</file>